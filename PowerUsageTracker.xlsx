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<sst xmlns="http://schemas.openxmlformats.org/spreadsheetml/2006/main" count="17" uniqueCount="17">
  <si>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Start Date</t>
  </si>
  <si>
    <t xml:space="preserve">End Date</t>
  </si>
  <si>
    <t xml:space="preserve">Kilowatts</t>
  </si>
  <si>
    <t xml:space="preserve">Cost</t>
  </si>
  <si>
    <t xml:space="preserve">Days</t>
  </si>
  <si>
    <t xml:space="preserve">Avg. High Temp</t>
  </si>
  <si>
    <t xml:space="preserve">Avg. Avg. Temp</t>
  </si>
  <si>
    <t xml:space="preserve">Avg. Low Temp</t>
  </si>
  <si>
    <t xml:space="preserve">Availability Charge</t>
  </si>
  <si>
    <t xml:space="preserve">Utility Tax</t>
  </si>
  <si>
    <t xml:space="preserve">kWh Charge 1</t>
  </si>
  <si>
    <t xml:space="preserve">Usage Charge 1</t>
  </si>
  <si>
    <t xml:space="preserve">kWh Charge 2</t>
  </si>
  <si>
    <t xml:space="preserve">Usage Charge 2</t>
  </si>
  <si>
    <t xml:space="preserve">Fuel Cost</t>
  </si>
  <si>
    <t xml:space="preserve">Total Cost</t>
  </si>
  <si>
    <t xml:space="preserve">Total Cost Calc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</si>
</sst>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.00"/>
    <numFmt numFmtId="168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3.16"/>
    <col collapsed="false" customWidth="true" hidden="false" outlineLevel="0" max="7" min="6" style="1" width="14.46"/>
    <col collapsed="false" customWidth="true" hidden="false" outlineLevel="0" max="8" min="8" style="1" width="14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2" t="n">
        <v>45044</v>
      </c>
      <c r="B2" s="2" t="n">
        <v>45078</v>
      </c>
      <c r="C2" s="3" t="n">
        <v>414</v>
      </c>
      <c r="D2" s="4" t="n">
        <v>42.52</v>
      </c>
      <c r="E2" s="1" t="n">
        <v>34</v>
      </c>
      <c r="F2" s="1" t="n">
        <v>74.55</v>
      </c>
      <c r="G2" s="1" t="n">
        <v>54.83</v>
      </c>
      <c r="H2" s="1" t="n">
        <v>68.45</v>
      </c>
      <c r="I2" s="1" t="n">
        <v>14.23</v>
      </c>
    </row>
    <row r="3" customFormat="false" ht="12.8" hidden="false" customHeight="false" outlineLevel="0" collapsed="false">
      <c r="A3" s="2" t="n">
        <v>45078</v>
      </c>
      <c r="B3" s="2" t="n">
        <v>45110</v>
      </c>
      <c r="C3" s="3" t="n">
        <v>776</v>
      </c>
      <c r="D3" s="4" t="n">
        <v>80.18</v>
      </c>
      <c r="E3" s="1" t="n">
        <v>32</v>
      </c>
      <c r="F3" s="1" t="n">
        <v>83.04</v>
      </c>
      <c r="G3" s="1" t="n">
        <v>74.12</v>
      </c>
      <c r="H3" s="1" t="n">
        <v>67.75</v>
      </c>
      <c r="I3" s="1" t="n">
        <v>14.23</v>
      </c>
    </row>
    <row r="4" customFormat="false" ht="12.8" hidden="false" customHeight="false" outlineLevel="0" collapsed="false">
      <c r="A4" s="2" t="n">
        <v>45110</v>
      </c>
      <c r="B4" s="2" t="n">
        <v>45139</v>
      </c>
      <c r="C4" s="3" t="n">
        <v>834</v>
      </c>
      <c r="D4" s="4" t="n">
        <v>58.66</v>
      </c>
      <c r="E4" s="1" t="n">
        <v>29</v>
      </c>
      <c r="F4" s="1" t="n">
        <v>84.18</v>
      </c>
      <c r="G4" s="1" t="n">
        <v>78.29</v>
      </c>
      <c r="H4" s="1" t="n">
        <v>72.38</v>
      </c>
      <c r="I4" s="1" t="n">
        <v>14.23</v>
      </c>
    </row>
    <row r="5" customFormat="false" ht="12.8" hidden="false" customHeight="false" outlineLevel="0" collapsed="false">
      <c r="A5" s="2" t="n">
        <v>45139</v>
      </c>
      <c r="B5" s="2" t="n">
        <v>45170</v>
      </c>
      <c r="C5" s="3" t="n">
        <v>872</v>
      </c>
      <c r="D5" s="4" t="n">
        <v>86.87</v>
      </c>
      <c r="E5" s="1" t="n">
        <v>31</v>
      </c>
      <c r="F5" s="1" t="n">
        <v>85.09</v>
      </c>
      <c r="G5" s="1" t="n">
        <v>77.77</v>
      </c>
      <c r="H5" s="1" t="n">
        <v>68.7</v>
      </c>
      <c r="I5" s="1" t="n">
        <v>14.23</v>
      </c>
    </row>
    <row r="6" customFormat="false" ht="12.8" hidden="false" customHeight="false" outlineLevel="0" collapsed="false">
      <c r="A6" s="2" t="n">
        <v>45170</v>
      </c>
      <c r="B6" s="2" t="n">
        <v>45201</v>
      </c>
      <c r="C6" s="3" t="n">
        <v>671</v>
      </c>
      <c r="D6" s="4" t="n">
        <v>65.8</v>
      </c>
      <c r="E6" s="1" t="n">
        <v>31</v>
      </c>
      <c r="F6" s="1" t="n">
        <v>79.23</v>
      </c>
      <c r="G6" s="1" t="n">
        <v>73.01</v>
      </c>
      <c r="H6" s="1" t="n">
        <v>59.08</v>
      </c>
      <c r="I6" s="1" t="n">
        <v>14.23</v>
      </c>
    </row>
    <row r="7" customFormat="false" ht="12.8" hidden="false" customHeight="false" outlineLevel="0" collapsed="false">
      <c r="A7" s="2" t="n">
        <v>45201</v>
      </c>
      <c r="B7" s="2" t="n">
        <v>45231</v>
      </c>
      <c r="C7" s="3" t="n">
        <v>530</v>
      </c>
      <c r="D7" s="4" t="n">
        <v>51.39</v>
      </c>
      <c r="E7" s="1" t="n">
        <v>30</v>
      </c>
      <c r="F7" s="5" t="n">
        <v>73.6</v>
      </c>
      <c r="G7" s="5" t="n">
        <v>61.87</v>
      </c>
      <c r="H7" s="5" t="n">
        <v>48.56</v>
      </c>
      <c r="I7" s="1" t="n">
        <v>14.23</v>
      </c>
      <c r="J7" s="1" t="n">
        <v>2.62</v>
      </c>
      <c r="K7" s="1" t="n">
        <v>530</v>
      </c>
      <c r="L7" s="1" t="n">
        <v>0.09697</v>
      </c>
      <c r="M7" s="1" t="n">
        <v>0</v>
      </c>
      <c r="N7" s="1" t="n">
        <v>0</v>
      </c>
      <c r="P7" s="1" t="n">
        <v>68.24</v>
      </c>
      <c r="Q7" s="6" t="n">
        <f aca="false">(K7*L7) + (M7*N7) + (O7*C7) + I7 +J7</f>
        <v>68.2441</v>
      </c>
    </row>
    <row r="8" customFormat="false" ht="12.8" hidden="false" customHeight="false" outlineLevel="0" collapsed="false">
      <c r="A8" s="2" t="n">
        <v>45231</v>
      </c>
      <c r="B8" s="2" t="n">
        <v>45260</v>
      </c>
      <c r="C8" s="3" t="n">
        <v>1077</v>
      </c>
      <c r="D8" s="4" t="n">
        <v>105.83</v>
      </c>
      <c r="E8" s="1" t="n">
        <v>30</v>
      </c>
      <c r="F8" s="5" t="n">
        <v>74.5</v>
      </c>
      <c r="G8" s="5" t="n">
        <v>52.33</v>
      </c>
      <c r="H8" s="5" t="n">
        <v>34.67</v>
      </c>
      <c r="I8" s="1" t="n">
        <v>14.23</v>
      </c>
      <c r="J8" s="1" t="n">
        <v>4.8</v>
      </c>
      <c r="K8" s="1" t="n">
        <v>1077</v>
      </c>
      <c r="L8" s="1" t="n">
        <v>0.09826</v>
      </c>
      <c r="M8" s="1" t="n">
        <v>0</v>
      </c>
      <c r="N8" s="1" t="n">
        <v>0</v>
      </c>
      <c r="P8" s="1" t="n">
        <v>124.86</v>
      </c>
      <c r="Q8" s="6" t="n">
        <f aca="false">(K8*L8) + (M8*N8) + (O8*C8) + I8 +J8</f>
        <v>124.85602</v>
      </c>
    </row>
    <row r="9" customFormat="false" ht="12.8" hidden="false" customHeight="false" outlineLevel="0" collapsed="false">
      <c r="A9" s="2" t="n">
        <v>45261</v>
      </c>
      <c r="B9" s="2" t="n">
        <v>45293</v>
      </c>
      <c r="C9" s="3" t="n">
        <v>1410</v>
      </c>
      <c r="D9" s="4" t="n">
        <v>142.28</v>
      </c>
      <c r="E9" s="1" t="n">
        <v>32</v>
      </c>
      <c r="F9" s="5" t="n">
        <v>57.89</v>
      </c>
      <c r="G9" s="5" t="n">
        <v>47.85</v>
      </c>
      <c r="H9" s="5" t="n">
        <v>37</v>
      </c>
      <c r="I9" s="1" t="n">
        <v>14.23</v>
      </c>
      <c r="J9" s="1" t="n">
        <v>6.26</v>
      </c>
      <c r="K9" s="1" t="n">
        <v>1400</v>
      </c>
      <c r="L9" s="1" t="n">
        <v>0.10085</v>
      </c>
      <c r="M9" s="1" t="n">
        <v>10</v>
      </c>
      <c r="N9" s="1" t="n">
        <v>0.10921</v>
      </c>
      <c r="P9" s="1" t="n">
        <v>162.77</v>
      </c>
      <c r="Q9" s="6" t="n">
        <f aca="false">(K9*L9) + (M9*N9) + (O9*C9) + I9 +J9</f>
        <v>162.7721</v>
      </c>
    </row>
    <row r="10" customFormat="false" ht="12.8" hidden="false" customHeight="false" outlineLevel="0" collapsed="false">
      <c r="A10" s="2" t="n">
        <v>45293</v>
      </c>
      <c r="B10" s="2" t="n">
        <v>45323</v>
      </c>
      <c r="C10" s="3" t="n">
        <v>2016</v>
      </c>
      <c r="D10" s="4" t="n">
        <v>203.51</v>
      </c>
      <c r="E10" s="1" t="n">
        <v>30</v>
      </c>
      <c r="F10" s="5" t="n">
        <v>64.25</v>
      </c>
      <c r="G10" s="5" t="n">
        <v>48.51</v>
      </c>
      <c r="H10" s="5" t="n">
        <v>37.58</v>
      </c>
      <c r="I10" s="1" t="n">
        <v>14.23</v>
      </c>
      <c r="Q10" s="6"/>
    </row>
    <row r="11" customFormat="false" ht="12.8" hidden="false" customHeight="false" outlineLevel="0" collapsed="false">
      <c r="A11" s="2" t="n">
        <v>45323</v>
      </c>
      <c r="B11" s="2" t="n">
        <v>45352</v>
      </c>
      <c r="C11" s="3" t="n">
        <v>1016</v>
      </c>
      <c r="D11" s="4" t="n">
        <v>107.22</v>
      </c>
      <c r="E11" s="1" t="n">
        <v>29</v>
      </c>
      <c r="F11" s="5" t="n">
        <v>68.67</v>
      </c>
      <c r="G11" s="5" t="n">
        <v>56.73</v>
      </c>
      <c r="H11" s="5" t="n">
        <v>43.33</v>
      </c>
      <c r="I11" s="1" t="n">
        <v>14.23</v>
      </c>
      <c r="J11" s="1" t="n">
        <v>4.86</v>
      </c>
      <c r="K11" s="1" t="n">
        <v>1016</v>
      </c>
      <c r="L11" s="1" t="n">
        <v>0.10553</v>
      </c>
      <c r="M11" s="1" t="n">
        <v>0</v>
      </c>
      <c r="N11" s="1" t="n">
        <v>0</v>
      </c>
      <c r="P11" s="1" t="n">
        <v>126.31</v>
      </c>
      <c r="Q11" s="6" t="n">
        <f aca="false">(K11*L11) + (M11*N11) + (O11*C11) + I11 +J11</f>
        <v>126.30848</v>
      </c>
    </row>
    <row r="12" customFormat="false" ht="12.8" hidden="false" customHeight="false" outlineLevel="0" collapsed="false">
      <c r="A12" s="2" t="n">
        <v>45352</v>
      </c>
      <c r="B12" s="2" t="n">
        <v>45383</v>
      </c>
      <c r="C12" s="3" t="n">
        <v>789</v>
      </c>
      <c r="D12" s="4" t="n">
        <v>76.23</v>
      </c>
      <c r="E12" s="1" t="n">
        <v>31</v>
      </c>
      <c r="F12" s="5" t="n">
        <v>71.67</v>
      </c>
      <c r="G12" s="5" t="n">
        <v>56.6</v>
      </c>
      <c r="H12" s="5" t="n">
        <v>42</v>
      </c>
      <c r="I12" s="1" t="n">
        <v>14.23</v>
      </c>
      <c r="J12" s="1" t="n">
        <v>3.62</v>
      </c>
      <c r="K12" s="1" t="n">
        <v>789</v>
      </c>
      <c r="L12" s="1" t="n">
        <v>0.09662</v>
      </c>
      <c r="M12" s="1" t="n">
        <v>0</v>
      </c>
      <c r="N12" s="1" t="n">
        <v>0</v>
      </c>
      <c r="P12" s="1" t="n">
        <v>94.08</v>
      </c>
      <c r="Q12" s="6" t="n">
        <f aca="false">(K12*L12) + (M12*N12) + (O12*C12) + I12 +J12</f>
        <v>94.08318</v>
      </c>
    </row>
    <row r="13" customFormat="false" ht="12.8" hidden="false" customHeight="false" outlineLevel="0" collapsed="false">
      <c r="A13" s="2" t="n">
        <v>45383</v>
      </c>
      <c r="B13" s="2" t="n">
        <v>45413</v>
      </c>
      <c r="C13" s="3" t="n">
        <v>603</v>
      </c>
      <c r="D13" s="4" t="n">
        <v>56.33</v>
      </c>
      <c r="E13" s="1" t="n">
        <v>30</v>
      </c>
      <c r="F13" s="5" t="n">
        <v>77.22</v>
      </c>
      <c r="G13" s="5" t="n">
        <v>60.9</v>
      </c>
      <c r="H13" s="5" t="n">
        <v>42</v>
      </c>
      <c r="I13" s="1" t="n">
        <v>14.23</v>
      </c>
      <c r="J13" s="1" t="n">
        <v>2.82</v>
      </c>
      <c r="K13" s="1" t="n">
        <v>603</v>
      </c>
      <c r="L13" s="1" t="n">
        <v>0.09341</v>
      </c>
      <c r="M13" s="1" t="n">
        <v>0</v>
      </c>
      <c r="N13" s="1" t="n">
        <v>0</v>
      </c>
      <c r="P13" s="1" t="n">
        <v>73.38</v>
      </c>
      <c r="Q13" s="6" t="n">
        <f aca="false">(K13*L13) + (M13*N13) + (O13*C13) + I13 +J13</f>
        <v>73.37623</v>
      </c>
    </row>
    <row r="14" customFormat="false" ht="12.8" hidden="false" customHeight="false" outlineLevel="0" collapsed="false">
      <c r="A14" s="2" t="n">
        <v>45413</v>
      </c>
      <c r="B14" s="2" t="n">
        <v>45446</v>
      </c>
      <c r="C14" s="1" t="n">
        <v>649</v>
      </c>
      <c r="D14" s="1" t="n">
        <v>65.41</v>
      </c>
      <c r="E14" s="1" t="n">
        <v>33</v>
      </c>
      <c r="F14" s="5" t="n">
        <v>78.6</v>
      </c>
      <c r="G14" s="5" t="n">
        <v>70.72</v>
      </c>
      <c r="H14" s="5" t="n">
        <v>61.42</v>
      </c>
      <c r="I14" s="1" t="n">
        <v>14.23</v>
      </c>
      <c r="J14" s="1" t="n">
        <v>3.19</v>
      </c>
      <c r="K14" s="1" t="n">
        <v>649</v>
      </c>
      <c r="L14" s="1" t="n">
        <v>0.10078</v>
      </c>
      <c r="M14" s="1" t="n">
        <v>0</v>
      </c>
      <c r="N14" s="1" t="n">
        <v>0</v>
      </c>
      <c r="P14" s="1" t="n">
        <v>82.83</v>
      </c>
      <c r="Q14" s="6" t="n">
        <f aca="false">(K14*L14) + (M14*N14) + (O14*C14) + I14 +J14</f>
        <v>82.82622</v>
      </c>
    </row>
    <row r="15" customFormat="false" ht="12.8" hidden="false" customHeight="false" outlineLevel="0" collapsed="false">
      <c r="A15" s="2" t="n">
        <v>45446</v>
      </c>
      <c r="B15" s="2" t="n">
        <v>45475</v>
      </c>
      <c r="C15" s="1" t="n">
        <v>816</v>
      </c>
      <c r="D15" s="1" t="n">
        <v>83.5</v>
      </c>
      <c r="E15" s="1" t="n">
        <v>29</v>
      </c>
      <c r="F15" s="5" t="n">
        <v>83.5</v>
      </c>
      <c r="G15" s="5" t="n">
        <v>76.38</v>
      </c>
      <c r="H15" s="5" t="n">
        <v>67.11</v>
      </c>
      <c r="I15" s="1" t="n">
        <v>14.23</v>
      </c>
      <c r="J15" s="1" t="n">
        <v>3.91</v>
      </c>
      <c r="K15" s="1" t="n">
        <v>816</v>
      </c>
      <c r="L15" s="1" t="n">
        <v>0.10233</v>
      </c>
      <c r="M15" s="1" t="n">
        <v>0</v>
      </c>
      <c r="N15" s="1" t="n">
        <v>0</v>
      </c>
      <c r="P15" s="1" t="n">
        <v>101.64</v>
      </c>
      <c r="Q15" s="6" t="n">
        <f aca="false">(K15*L15) + (M15*N15) + (O15*C15) + I15 +J15</f>
        <v>101.64128</v>
      </c>
    </row>
    <row r="16" customFormat="false" ht="12.8" hidden="false" customHeight="false" outlineLevel="0" collapsed="false">
      <c r="A16" s="2" t="n">
        <v>45475</v>
      </c>
      <c r="B16" s="2" t="n">
        <v>45505</v>
      </c>
      <c r="C16" s="1" t="n">
        <v>900</v>
      </c>
      <c r="D16" s="1" t="n">
        <v>92.48</v>
      </c>
      <c r="E16" s="1" t="n">
        <v>30</v>
      </c>
      <c r="F16" s="5" t="n">
        <v>82.95</v>
      </c>
      <c r="G16" s="5" t="n">
        <v>77.47</v>
      </c>
      <c r="H16" s="5" t="n">
        <v>73.38</v>
      </c>
      <c r="I16" s="1" t="n">
        <v>14.23</v>
      </c>
      <c r="J16" s="1" t="n">
        <v>4.27</v>
      </c>
      <c r="K16" s="1" t="n">
        <v>900</v>
      </c>
      <c r="L16" s="1" t="n">
        <v>0.10276</v>
      </c>
      <c r="M16" s="1" t="n">
        <v>0</v>
      </c>
      <c r="N16" s="1" t="n">
        <v>0</v>
      </c>
      <c r="P16" s="1" t="n">
        <v>110.98</v>
      </c>
      <c r="Q16" s="6" t="n">
        <f aca="false">(K16*L16) + (M16*N16) + (O16*C16) + I16 +J16</f>
        <v>110.984</v>
      </c>
    </row>
    <row r="17" customFormat="false" ht="12.8" hidden="false" customHeight="false" outlineLevel="0" collapsed="false">
      <c r="A17" s="2" t="n">
        <v>45505</v>
      </c>
      <c r="B17" s="2" t="n">
        <v>45538</v>
      </c>
      <c r="C17" s="1" t="n">
        <v>1009</v>
      </c>
      <c r="D17" s="1" t="n">
        <v>103.33</v>
      </c>
      <c r="E17" s="1" t="n">
        <v>33</v>
      </c>
      <c r="F17" s="5" t="n">
        <v>89.78</v>
      </c>
      <c r="G17" s="5" t="n">
        <v>78.13</v>
      </c>
      <c r="H17" s="5" t="n">
        <v>66.67</v>
      </c>
      <c r="I17" s="1" t="n">
        <v>14.23</v>
      </c>
      <c r="J17" s="1" t="n">
        <v>4.7</v>
      </c>
      <c r="K17" s="1" t="n">
        <v>1009</v>
      </c>
      <c r="L17" s="1" t="n">
        <v>0.10241</v>
      </c>
      <c r="M17" s="1" t="n">
        <v>0</v>
      </c>
      <c r="N17" s="1" t="n">
        <v>0</v>
      </c>
      <c r="P17" s="1" t="n">
        <v>122.26</v>
      </c>
      <c r="Q17" s="6" t="n">
        <f aca="false">(K17*L17) + (M17*N17) + (O17*C17) + I17 +J17</f>
        <v>122.26169</v>
      </c>
    </row>
    <row r="18" customFormat="false" ht="12.8" hidden="false" customHeight="false" outlineLevel="0" collapsed="false">
      <c r="A18" s="2" t="n">
        <v>45538</v>
      </c>
      <c r="B18" s="2" t="n">
        <v>45567</v>
      </c>
      <c r="C18" s="1" t="n">
        <v>616</v>
      </c>
      <c r="D18" s="1" t="n">
        <v>60.18</v>
      </c>
      <c r="E18" s="1" t="n">
        <v>29</v>
      </c>
      <c r="F18" s="5" t="n">
        <v>82.56</v>
      </c>
      <c r="G18" s="5" t="n">
        <v>74.97</v>
      </c>
      <c r="H18" s="5" t="n">
        <v>60.25</v>
      </c>
      <c r="I18" s="1" t="n">
        <v>14.23</v>
      </c>
      <c r="J18" s="1" t="n">
        <v>2.98</v>
      </c>
      <c r="K18" s="1" t="n">
        <v>616</v>
      </c>
      <c r="L18" s="1" t="n">
        <v>0.0977</v>
      </c>
      <c r="M18" s="1" t="n">
        <v>0</v>
      </c>
      <c r="N18" s="1" t="n">
        <v>0</v>
      </c>
      <c r="P18" s="1" t="n">
        <v>77.39</v>
      </c>
      <c r="Q18" s="6" t="n">
        <f aca="false">(K18*L18) + (M18*N18) + (O18*C18) + I18 +J18</f>
        <v>77.3932</v>
      </c>
    </row>
    <row r="19" customFormat="false" ht="12.8" hidden="false" customHeight="false" outlineLevel="0" collapsed="false">
      <c r="A19" s="2" t="n">
        <v>45567</v>
      </c>
      <c r="B19" s="2" t="n">
        <v>45597</v>
      </c>
      <c r="C19" s="1" t="n">
        <v>535</v>
      </c>
      <c r="D19" s="1" t="n">
        <v>54.82</v>
      </c>
      <c r="E19" s="1" t="n">
        <v>30</v>
      </c>
      <c r="F19" s="5" t="n">
        <v>79.56</v>
      </c>
      <c r="G19" s="5" t="n">
        <v>68.48</v>
      </c>
      <c r="H19" s="5" t="n">
        <v>51</v>
      </c>
      <c r="I19" s="1" t="n">
        <v>14.23</v>
      </c>
      <c r="J19" s="1" t="n">
        <v>2.76</v>
      </c>
      <c r="K19" s="1" t="n">
        <v>535</v>
      </c>
      <c r="L19" s="1" t="n">
        <v>0.10247</v>
      </c>
      <c r="M19" s="1" t="n">
        <v>0</v>
      </c>
      <c r="N19" s="1" t="n">
        <v>0</v>
      </c>
      <c r="P19" s="1" t="n">
        <v>71.81</v>
      </c>
      <c r="Q19" s="6" t="n">
        <f aca="false">(K19*L19) + (M19*N19) + (O19*C19) + I19 +J19</f>
        <v>71.81145</v>
      </c>
    </row>
    <row r="20" customFormat="false" ht="12.8" hidden="false" customHeight="false" outlineLevel="0" collapsed="false">
      <c r="A20" s="2" t="n">
        <v>45597</v>
      </c>
      <c r="B20" s="2" t="n">
        <v>45628</v>
      </c>
      <c r="C20" s="1" t="n">
        <v>819</v>
      </c>
      <c r="D20" s="1" t="n">
        <v>86.46</v>
      </c>
      <c r="E20" s="1" t="n">
        <v>31</v>
      </c>
      <c r="F20" s="5" t="n">
        <v>76.78</v>
      </c>
      <c r="G20" s="5" t="n">
        <v>61.73</v>
      </c>
      <c r="H20" s="5" t="n">
        <v>38.67</v>
      </c>
      <c r="I20" s="1" t="n">
        <v>14.23</v>
      </c>
      <c r="J20" s="1" t="n">
        <v>4.03</v>
      </c>
      <c r="K20" s="1" t="n">
        <v>819</v>
      </c>
      <c r="L20" s="1" t="n">
        <v>0.10557</v>
      </c>
      <c r="M20" s="1" t="n">
        <v>0</v>
      </c>
      <c r="N20" s="1" t="n">
        <v>0</v>
      </c>
      <c r="P20" s="1" t="n">
        <v>104.72</v>
      </c>
      <c r="Q20" s="6" t="n">
        <f aca="false">(K20*L20) + (M20*N20) + (O20*C20) + I20 +J20</f>
        <v>104.72183</v>
      </c>
    </row>
    <row r="21" customFormat="false" ht="12.8" hidden="false" customHeight="false" outlineLevel="0" collapsed="false">
      <c r="A21" s="2" t="n">
        <v>45628</v>
      </c>
      <c r="B21" s="2" t="n">
        <v>45659</v>
      </c>
      <c r="C21" s="1" t="n">
        <v>1441</v>
      </c>
      <c r="D21" s="1" t="n">
        <v>155.34</v>
      </c>
      <c r="E21" s="1" t="n">
        <v>31</v>
      </c>
      <c r="F21" s="5" t="n">
        <v>67.2</v>
      </c>
      <c r="G21" s="5" t="n">
        <v>49.89</v>
      </c>
      <c r="H21" s="5" t="n">
        <v>29.5</v>
      </c>
      <c r="I21" s="1" t="n">
        <v>17.23</v>
      </c>
      <c r="J21" s="1" t="n">
        <v>6.9</v>
      </c>
      <c r="K21" s="1" t="n">
        <v>1400</v>
      </c>
      <c r="L21" s="1" t="n">
        <v>0.10762</v>
      </c>
      <c r="M21" s="1" t="n">
        <v>41</v>
      </c>
      <c r="N21" s="1" t="n">
        <v>0.1138</v>
      </c>
      <c r="P21" s="1" t="n">
        <v>179.46</v>
      </c>
      <c r="Q21" s="6" t="n">
        <f aca="false">(K21*L21) + (M21*N21) + (O21*C21) + I21 +J21</f>
        <v>179.4638</v>
      </c>
    </row>
    <row r="22" customFormat="false" ht="12.8" hidden="false" customHeight="false" outlineLevel="0" collapsed="false">
      <c r="A22" s="2" t="n">
        <v>45659</v>
      </c>
      <c r="B22" s="2" t="n">
        <v>45691</v>
      </c>
      <c r="C22" s="1" t="n">
        <v>2131</v>
      </c>
      <c r="D22" s="1" t="n">
        <v>232.55</v>
      </c>
      <c r="E22" s="1" t="n">
        <v>32</v>
      </c>
      <c r="F22" s="5" t="n">
        <v>57.3</v>
      </c>
      <c r="G22" s="5" t="n">
        <v>41.53</v>
      </c>
      <c r="H22" s="5" t="n">
        <v>22.5</v>
      </c>
      <c r="I22" s="1" t="n">
        <v>17.23</v>
      </c>
      <c r="J22" s="1" t="n">
        <v>9.99</v>
      </c>
      <c r="K22" s="1" t="n">
        <v>1400</v>
      </c>
      <c r="L22" s="1" t="n">
        <v>0.10701</v>
      </c>
      <c r="M22" s="1" t="n">
        <v>731</v>
      </c>
      <c r="N22" s="1" t="n">
        <v>0.11319</v>
      </c>
      <c r="P22" s="1" t="n">
        <v>259.78</v>
      </c>
      <c r="Q22" s="6" t="n">
        <f aca="false">(K22*L22) + (M22*N22) + (O22*C22) + I22 +J22</f>
        <v>259.77589</v>
      </c>
    </row>
    <row r="23" customFormat="false" ht="12.8" hidden="false" customHeight="false" outlineLevel="0" collapsed="false">
      <c r="A23" s="2" t="n">
        <v>45691</v>
      </c>
      <c r="B23" s="2" t="n">
        <v>45720</v>
      </c>
      <c r="C23" s="1" t="n">
        <v>1363</v>
      </c>
      <c r="D23" s="1" t="n">
        <v>154.62</v>
      </c>
      <c r="E23" s="1" t="n">
        <v>29</v>
      </c>
      <c r="F23" s="5" t="n">
        <v>69.56</v>
      </c>
      <c r="G23" s="5" t="n">
        <v>51.08</v>
      </c>
      <c r="H23" s="5" t="n">
        <v>22.29</v>
      </c>
      <c r="I23" s="1" t="n">
        <v>17.23</v>
      </c>
      <c r="Q23" s="6"/>
    </row>
    <row r="24" customFormat="false" ht="12.8" hidden="false" customHeight="false" outlineLevel="0" collapsed="false">
      <c r="A24" s="2" t="n">
        <v>45720</v>
      </c>
      <c r="B24" s="2" t="n">
        <v>45749</v>
      </c>
      <c r="C24" s="1" t="n">
        <v>751</v>
      </c>
      <c r="D24" s="1" t="n">
        <v>83.48</v>
      </c>
      <c r="E24" s="1" t="n">
        <v>29</v>
      </c>
      <c r="F24" s="5" t="n">
        <v>75.33</v>
      </c>
      <c r="G24" s="5" t="n">
        <v>58.71</v>
      </c>
      <c r="H24" s="5" t="n">
        <v>42.89</v>
      </c>
      <c r="I24" s="1" t="n">
        <v>17.23</v>
      </c>
      <c r="J24" s="1" t="n">
        <v>4.03</v>
      </c>
      <c r="K24" s="1" t="n">
        <v>751</v>
      </c>
      <c r="L24" s="1" t="n">
        <v>0.11116</v>
      </c>
      <c r="M24" s="1" t="n">
        <v>0</v>
      </c>
      <c r="N24" s="1" t="n">
        <v>0</v>
      </c>
      <c r="P24" s="1" t="n">
        <v>104.74</v>
      </c>
      <c r="Q24" s="6" t="n">
        <f aca="false">(K24*L24) + (M24*N24) + (O24*C24) + I24 +J24</f>
        <v>104.74116</v>
      </c>
    </row>
    <row r="25" customFormat="false" ht="12.8" hidden="false" customHeight="false" outlineLevel="0" collapsed="false">
      <c r="A25" s="2" t="n">
        <v>45749</v>
      </c>
      <c r="B25" s="2" t="n">
        <v>45778</v>
      </c>
      <c r="C25" s="1" t="n">
        <v>1086</v>
      </c>
      <c r="D25" s="1" t="n">
        <v>116.52</v>
      </c>
      <c r="E25" s="1" t="n">
        <v>29</v>
      </c>
      <c r="F25" s="5" t="n">
        <v>82</v>
      </c>
      <c r="G25" s="5" t="n">
        <v>67.55</v>
      </c>
      <c r="H25" s="5" t="n">
        <v>49.33</v>
      </c>
      <c r="I25" s="1" t="n">
        <v>17.23</v>
      </c>
      <c r="J25" s="1" t="n">
        <v>5.35</v>
      </c>
      <c r="K25" s="1" t="n">
        <v>1086</v>
      </c>
      <c r="L25" s="1" t="n">
        <v>0.10729</v>
      </c>
      <c r="M25" s="1" t="n">
        <v>0</v>
      </c>
      <c r="N25" s="1" t="n">
        <v>0</v>
      </c>
      <c r="P25" s="1" t="n">
        <v>139.1</v>
      </c>
      <c r="Q25" s="6" t="n">
        <f aca="false">(K25*L25) + (M25*N25) + (O25*C25) + I25 +J25</f>
        <v>139.09694</v>
      </c>
    </row>
    <row r="26" customFormat="false" ht="12.8" hidden="false" customHeight="false" outlineLevel="0" collapsed="false">
      <c r="A26" s="2" t="n">
        <v>45778</v>
      </c>
      <c r="B26" s="2" t="n">
        <v>45810</v>
      </c>
      <c r="C26" s="1" t="n">
        <v>871</v>
      </c>
      <c r="D26" s="1" t="n">
        <v>99.96</v>
      </c>
      <c r="E26" s="1" t="n">
        <v>32</v>
      </c>
      <c r="F26" s="5" t="n">
        <v>84.29</v>
      </c>
      <c r="G26" s="5" t="n">
        <v>76.64</v>
      </c>
      <c r="H26" s="5" t="n">
        <v>70</v>
      </c>
      <c r="I26" s="1" t="n">
        <v>17.23</v>
      </c>
      <c r="J26" s="1" t="n">
        <v>4.69</v>
      </c>
      <c r="K26" s="1" t="n">
        <v>871</v>
      </c>
      <c r="L26" s="1" t="n">
        <v>0.11476</v>
      </c>
      <c r="M26" s="1" t="n">
        <v>0</v>
      </c>
      <c r="N26" s="1" t="n">
        <v>0</v>
      </c>
      <c r="P26" s="1" t="n">
        <v>121.88</v>
      </c>
      <c r="Q26" s="6" t="n">
        <f aca="false">(K26*L26) + (M26*N26) + (O26*C26) + I26 +J26</f>
        <v>121.87596</v>
      </c>
    </row>
    <row r="27" customFormat="false" ht="12.8" hidden="false" customHeight="false" outlineLevel="0" collapsed="false">
      <c r="A27" s="2" t="n">
        <v>45810</v>
      </c>
      <c r="B27" s="2" t="n">
        <v>45839</v>
      </c>
      <c r="C27" s="1" t="n">
        <v>1184</v>
      </c>
      <c r="D27" s="1" t="n">
        <v>134.82</v>
      </c>
      <c r="E27" s="1" t="n">
        <v>29</v>
      </c>
      <c r="F27" s="5" t="n">
        <v>91.88</v>
      </c>
      <c r="G27" s="5" t="n">
        <v>82</v>
      </c>
      <c r="H27" s="5" t="n">
        <v>73</v>
      </c>
      <c r="I27" s="1" t="n">
        <v>17.23</v>
      </c>
      <c r="J27" s="1" t="n">
        <v>6.08</v>
      </c>
      <c r="K27" s="1" t="n">
        <v>1184</v>
      </c>
      <c r="L27" s="1" t="n">
        <v>0.11387</v>
      </c>
      <c r="M27" s="1" t="n">
        <v>0</v>
      </c>
      <c r="N27" s="1" t="n">
        <v>0</v>
      </c>
      <c r="P27" s="1" t="n">
        <v>158.13</v>
      </c>
      <c r="Q27" s="6" t="n">
        <f aca="false">(K27*L27) + (M27*N27) + (O27*C27) + I27 +J27</f>
        <v>158.13208</v>
      </c>
    </row>
    <row r="28" customFormat="false" ht="12.8" hidden="false" customHeight="false" outlineLevel="0" collapsed="false">
      <c r="A28" s="2" t="n">
        <v>45839</v>
      </c>
      <c r="B28" s="2" t="n">
        <v>45873</v>
      </c>
      <c r="C28" s="1" t="n">
        <v>1459</v>
      </c>
      <c r="D28" s="1" t="n">
        <v>165.13</v>
      </c>
      <c r="E28" s="1" t="n">
        <v>34</v>
      </c>
      <c r="F28" s="5" t="n">
        <v>95</v>
      </c>
      <c r="G28" s="5" t="n">
        <v>88.76</v>
      </c>
      <c r="H28" s="5" t="n">
        <v>80.67</v>
      </c>
      <c r="I28" s="1" t="n">
        <v>17.23</v>
      </c>
      <c r="J28" s="1" t="n">
        <v>7.29</v>
      </c>
      <c r="K28" s="1" t="n">
        <v>1400</v>
      </c>
      <c r="L28" s="1" t="n">
        <v>0.08628</v>
      </c>
      <c r="M28" s="1" t="n">
        <v>59</v>
      </c>
      <c r="N28" s="1" t="n">
        <v>0.09246</v>
      </c>
      <c r="O28" s="1" t="n">
        <v>0.02665</v>
      </c>
      <c r="P28" s="1" t="n">
        <v>189.65</v>
      </c>
      <c r="Q28" s="6" t="n">
        <f aca="false">(K28*L28) + (M28*N28) + (O28*C28) + I28 +J28</f>
        <v>189.64949</v>
      </c>
    </row>
    <row r="29" customFormat="false" ht="12.8" hidden="false" customHeight="false" outlineLevel="0" collapsed="false">
      <c r="A29" s="2" t="n">
        <v>45873</v>
      </c>
      <c r="B29" s="2" t="n">
        <v>45903</v>
      </c>
      <c r="C29" s="1" t="n">
        <v>905</v>
      </c>
      <c r="D29" s="1" t="n">
        <v>99.7</v>
      </c>
      <c r="E29" s="1" t="n">
        <v>30</v>
      </c>
      <c r="F29" s="5" t="n">
        <v>88.44</v>
      </c>
      <c r="G29" s="5" t="n">
        <v>79.78</v>
      </c>
      <c r="H29" s="5" t="n">
        <v>72.38</v>
      </c>
      <c r="I29" s="1" t="n">
        <v>17.23</v>
      </c>
      <c r="J29" s="1" t="n">
        <v>4.68</v>
      </c>
      <c r="K29" s="1" t="n">
        <v>905</v>
      </c>
      <c r="L29" s="1" t="n">
        <v>0.08628</v>
      </c>
      <c r="M29" s="1" t="n">
        <v>0</v>
      </c>
      <c r="N29" s="1" t="n">
        <v>0</v>
      </c>
      <c r="O29" s="1" t="n">
        <v>0.02389</v>
      </c>
      <c r="P29" s="1" t="n">
        <v>121.61</v>
      </c>
      <c r="Q29" s="6" t="n">
        <f aca="false">(K29*L29) + (M29*N29) + (O29*C29) + I29 +J29</f>
        <v>121.61385</v>
      </c>
    </row>
    <row r="30" customFormat="false" ht="12.8" hidden="false" customHeight="false" outlineLevel="0" collapsed="false">
      <c r="A30" s="2" t="n">
        <v>45903</v>
      </c>
      <c r="B30" s="2" t="n">
        <v>45932</v>
      </c>
      <c r="C30" s="1" t="n">
        <v>868</v>
      </c>
      <c r="D30" s="1" t="n">
        <v>88.92</v>
      </c>
      <c r="E30" s="1" t="n">
        <v>29</v>
      </c>
      <c r="F30" s="5" t="n">
        <v>83.67</v>
      </c>
      <c r="G30" s="5" t="n">
        <v>78.38</v>
      </c>
      <c r="H30" s="5" t="n">
        <v>72.5</v>
      </c>
      <c r="I30" s="1" t="n">
        <v>17.23</v>
      </c>
      <c r="J30" s="1" t="n">
        <v>4.25</v>
      </c>
      <c r="K30" s="1" t="n">
        <v>868</v>
      </c>
      <c r="L30" s="1" t="n">
        <v>0.08133</v>
      </c>
      <c r="M30" s="1" t="n">
        <v>0</v>
      </c>
      <c r="N30" s="1" t="n">
        <v>0</v>
      </c>
      <c r="O30" s="1" t="n">
        <v>0.02112</v>
      </c>
      <c r="P30" s="1" t="n">
        <v>110.4</v>
      </c>
      <c r="Q30" s="6" t="n">
        <f aca="false">(K30*L30) + (M30*N30) + (O30*C30) + I30 +J30</f>
        <v>110.4066</v>
      </c>
    </row>
    <row r="31" customFormat="false" ht="12.8" hidden="false" customHeight="false" outlineLevel="0" collapsed="false">
      <c r="A31" s="2" t="n">
        <v>45932</v>
      </c>
      <c r="B31" s="2" t="n">
        <v>45964</v>
      </c>
      <c r="C31" s="1" t="n">
        <v>972</v>
      </c>
      <c r="D31" s="1" t="n">
        <v>100.13</v>
      </c>
      <c r="E31" s="1" t="n">
        <v>33</v>
      </c>
      <c r="F31" s="5" t="n">
        <v>78.33</v>
      </c>
      <c r="G31" s="5" t="n">
        <v>65.9</v>
      </c>
      <c r="H31" s="5" t="n">
        <v>52</v>
      </c>
      <c r="I31" s="1" t="n">
        <v>17.23</v>
      </c>
      <c r="J31" s="1" t="n">
        <v>4.69</v>
      </c>
      <c r="K31" s="1" t="n">
        <v>972</v>
      </c>
      <c r="L31" s="1" t="n">
        <v>0.08133</v>
      </c>
      <c r="M31" s="1" t="n">
        <v>0</v>
      </c>
      <c r="N31" s="1" t="n">
        <v>0</v>
      </c>
      <c r="O31" s="1" t="n">
        <v>0.02169</v>
      </c>
      <c r="P31" s="1" t="n">
        <v>122.05</v>
      </c>
      <c r="Q31" s="6" t="n">
        <f aca="false">(K31*L31) + (M31*N31) + (O31*C31) + I31 +J31</f>
        <v>122.05544</v>
      </c>
    </row>
    <row r="32" customFormat="false" ht="12.8" hidden="false" customHeight="false" outlineLevel="0" collapsed="false">
      <c r="A32" s="2" t="n">
        <v>45964</v>
      </c>
      <c r="B32" s="2" t="n">
        <v>45993</v>
      </c>
      <c r="C32" s="1" t="n">
        <v>1086</v>
      </c>
      <c r="D32" s="1" t="n">
        <v>115.04</v>
      </c>
      <c r="E32" s="1" t="n">
        <v>28</v>
      </c>
      <c r="F32" s="5" t="n">
        <v>70.44</v>
      </c>
      <c r="G32" s="5" t="n">
        <v>60.23</v>
      </c>
      <c r="H32" s="5" t="n">
        <v>32.44</v>
      </c>
      <c r="I32" s="1" t="n">
        <v>17.23</v>
      </c>
      <c r="J32" s="1" t="n">
        <v>5.29</v>
      </c>
      <c r="K32" s="1" t="n">
        <v>1086</v>
      </c>
      <c r="L32" s="1" t="n">
        <v>0.08378</v>
      </c>
      <c r="M32" s="1" t="n">
        <v>0</v>
      </c>
      <c r="N32" s="1" t="n">
        <v>0</v>
      </c>
      <c r="O32" s="1" t="n">
        <v>0.02215</v>
      </c>
      <c r="P32" s="1" t="n">
        <v>137.56</v>
      </c>
      <c r="Q32" s="6" t="n">
        <f aca="false">(K32*L32) + (M32*N32) + (O32*C32) + I32 +J32</f>
        <v>137.55998</v>
      </c>
    </row>
    <row r="33" customFormat="false" ht="12.8" hidden="false" customHeight="false" outlineLevel="0" collapsed="false">
      <c r="A33" s="2" t="n">
        <v>45993</v>
      </c>
      <c r="B33" s="2" t="n">
        <v>46027</v>
      </c>
      <c r="C33" s="1" t="n">
        <v>1791</v>
      </c>
      <c r="D33" s="1" t="n">
        <v>195.51</v>
      </c>
      <c r="E33" s="1" t="n">
        <v>34</v>
      </c>
      <c r="F33" s="5" t="n">
        <v>63.25</v>
      </c>
      <c r="G33" s="5" t="n">
        <v>44.31</v>
      </c>
      <c r="H33" s="5" t="n">
        <v>31</v>
      </c>
      <c r="I33" s="1" t="n">
        <v>17.23</v>
      </c>
      <c r="J33" s="1" t="n">
        <v>8.51</v>
      </c>
      <c r="K33" s="1" t="n">
        <v>1400</v>
      </c>
      <c r="L33" s="1" t="n">
        <v>0.08378</v>
      </c>
      <c r="M33" s="1" t="n">
        <v>391</v>
      </c>
      <c r="N33" s="1" t="n">
        <v>0.08882</v>
      </c>
      <c r="O33" s="1" t="n">
        <v>0.02428</v>
      </c>
      <c r="P33" s="1" t="n">
        <v>221.25</v>
      </c>
      <c r="Q33" s="6" t="n">
        <f aca="false">(K33*L33) + (M33*N33) + (O33*C33) + I33 +J33</f>
        <v>221.2461</v>
      </c>
    </row>
    <row r="34" customFormat="false" ht="12.8" hidden="false" customHeight="false" outlineLevel="0" collapsed="false">
      <c r="A34" s="2" t="n">
        <v>46027</v>
      </c>
      <c r="B34" s="2" t="n">
        <v>46056</v>
      </c>
      <c r="C34" s="1" t="n">
        <v>2293</v>
      </c>
      <c r="D34" s="1" t="n">
        <v>254.78</v>
      </c>
      <c r="E34" s="1" t="n">
        <v>29</v>
      </c>
      <c r="F34" s="5" t="n">
        <v>66</v>
      </c>
      <c r="G34" s="5" t="n">
        <v>47.64</v>
      </c>
      <c r="H34" s="5" t="n">
        <v>30.33</v>
      </c>
      <c r="I34" s="1" t="n">
        <v>17.23</v>
      </c>
      <c r="J34" s="1" t="n">
        <v>10.88</v>
      </c>
      <c r="K34" s="1" t="n">
        <v>1400</v>
      </c>
      <c r="L34" s="1" t="n">
        <v>0.08378</v>
      </c>
      <c r="M34" s="1" t="n">
        <v>893</v>
      </c>
      <c r="N34" s="1" t="n">
        <v>0.08882</v>
      </c>
      <c r="O34" s="1" t="n">
        <v>0.02537</v>
      </c>
      <c r="P34" s="1" t="n">
        <v>282.89</v>
      </c>
      <c r="Q34" s="6" t="n">
        <f aca="false">(K34*L34) + (M34*N34) + (O34*C34) + I34 +J34</f>
        <v>282.89167</v>
      </c>
    </row>
    <row r="35" customFormat="false" ht="12.8" hidden="false" customHeight="false" outlineLevel="0" collapsed="false">
      <c r="A35" s="2" t="n">
        <v>46056</v>
      </c>
      <c r="B35" s="2" t="n">
        <v>46084</v>
      </c>
      <c r="C35" s="1" t="n">
        <v>1372</v>
      </c>
      <c r="D35" s="1" t="n">
        <v>171.24</v>
      </c>
      <c r="E35" s="1" t="n">
        <v>28</v>
      </c>
      <c r="F35" s="5" t="n">
        <v>70.27</v>
      </c>
      <c r="G35" s="5" t="n">
        <v>52.36</v>
      </c>
      <c r="H35" s="5" t="n">
        <v>28.63</v>
      </c>
      <c r="I35" s="1" t="n">
        <v>17.23</v>
      </c>
      <c r="J35" s="1" t="n">
        <v>7.54</v>
      </c>
      <c r="K35" s="1" t="n">
        <v>1372</v>
      </c>
      <c r="L35" s="1" t="n">
        <v>0.08378</v>
      </c>
      <c r="M35" s="1" t="n">
        <v>0</v>
      </c>
      <c r="N35" s="1" t="n">
        <v>0</v>
      </c>
      <c r="O35" s="1" t="n">
        <v>0.04103</v>
      </c>
      <c r="P35" s="1" t="n">
        <v>196.01</v>
      </c>
      <c r="Q35" s="6" t="n">
        <f aca="false">(K35*L35) + (M35*N35) + (O35*C35) + I35 +J35</f>
        <v>196.00932</v>
      </c>
    </row>
    <row r="36" customFormat="false" ht="12.8" hidden="false" customHeight="false" outlineLevel="0" collapsed="false">
      <c r="A36" s="2" t="n">
        <v>46084</v>
      </c>
      <c r="B36" s="2" t="n">
        <v>46114</v>
      </c>
      <c r="C36" s="1" t="n">
        <v>1056</v>
      </c>
      <c r="D36" s="1" t="n">
        <v>125.79</v>
      </c>
      <c r="E36" s="1" t="n">
        <v>30</v>
      </c>
      <c r="F36" s="5" t="n">
        <v>75.67</v>
      </c>
      <c r="G36" s="5" t="n">
        <v>62.87</v>
      </c>
      <c r="H36" s="5" t="n">
        <v>31.86</v>
      </c>
      <c r="I36" s="1" t="n">
        <v>17.23</v>
      </c>
      <c r="J36" s="1" t="n">
        <v>5.72</v>
      </c>
      <c r="K36" s="1" t="n">
        <v>1056</v>
      </c>
      <c r="L36" s="1" t="n">
        <v>0.08133</v>
      </c>
      <c r="M36" s="1" t="n">
        <v>0</v>
      </c>
      <c r="N36" s="1" t="n">
        <v>0</v>
      </c>
      <c r="O36" s="1" t="n">
        <v>0.03779</v>
      </c>
      <c r="P36" s="1" t="n">
        <v>148.74</v>
      </c>
      <c r="Q36" s="6" t="n">
        <f aca="false">(K36*L36) + (M36*N36) + (O36*C36) + I36 +J36</f>
        <v>148.74072</v>
      </c>
    </row>
    <row r="37" customFormat="false" ht="12.8" hidden="false" customHeight="false" outlineLevel="0" collapsed="false">
      <c r="A37" s="2" t="n">
        <v>46114</v>
      </c>
      <c r="B37" s="2" t="n">
        <v>46146</v>
      </c>
      <c r="C37" s="1" t="n">
        <v>1009</v>
      </c>
      <c r="D37" s="1" t="n">
        <v>112.65</v>
      </c>
      <c r="E37" s="1" t="n">
        <v>32</v>
      </c>
      <c r="F37" s="5" t="n">
        <v>77.25</v>
      </c>
      <c r="G37" s="5" t="n">
        <v>67.95</v>
      </c>
      <c r="H37" s="5" t="n">
        <v>52.21</v>
      </c>
      <c r="I37" s="1" t="n">
        <v>17.23</v>
      </c>
      <c r="J37" s="1" t="n">
        <v>5.2</v>
      </c>
      <c r="K37" s="1" t="n">
        <v>1009</v>
      </c>
      <c r="L37" s="1" t="n">
        <v>0.08133</v>
      </c>
      <c r="M37" s="1" t="n">
        <v>0</v>
      </c>
      <c r="N37" s="1" t="n">
        <v>0</v>
      </c>
      <c r="O37" s="1" t="n">
        <v>0.03032</v>
      </c>
      <c r="P37" s="1" t="n">
        <v>135.08</v>
      </c>
      <c r="Q37" s="6" t="n">
        <f aca="false">(K37*L37) + (M37*N37) + (O37*C37) + I37 +J37</f>
        <v>135.08485</v>
      </c>
    </row>
    <row r="38" customFormat="false" ht="12.8" hidden="false" customHeight="false" outlineLevel="0" collapsed="false">
      <c r="A38" s="2" t="n">
        <v>46146</v>
      </c>
      <c r="B38" s="2" t="n">
        <v>46175</v>
      </c>
      <c r="C38" s="1" t="n">
        <v>991</v>
      </c>
      <c r="D38" s="1" t="n">
        <v>114.42</v>
      </c>
      <c r="E38" s="1" t="n">
        <v>29</v>
      </c>
      <c r="F38" s="5" t="n">
        <v>79.48</v>
      </c>
      <c r="G38" s="5" t="n">
        <v>71.56</v>
      </c>
      <c r="H38" s="5" t="n">
        <v>57.89</v>
      </c>
      <c r="I38" s="1" t="n">
        <v>17.23</v>
      </c>
      <c r="J38" s="1" t="n">
        <v>5.27</v>
      </c>
      <c r="K38" s="1" t="n">
        <v>991</v>
      </c>
      <c r="L38" s="1" t="n">
        <v>0.08742</v>
      </c>
      <c r="M38" s="1" t="n">
        <v>0</v>
      </c>
      <c r="N38" s="1" t="n">
        <v>0</v>
      </c>
      <c r="O38" s="1" t="n">
        <v>0.02804</v>
      </c>
      <c r="P38" s="1" t="n">
        <v>136.92</v>
      </c>
      <c r="Q38" s="6" t="n">
        <f aca="false">(K38*L38) + (M38*N38) + (O38*C38) + I38 +J38</f>
        <v>136.92086</v>
      </c>
    </row>
    <row r="39" customFormat="false" ht="12.8" hidden="false" customHeight="false" outlineLevel="0" collapsed="false">
      <c r="A39" s="2" t="n">
        <v>46175</v>
      </c>
      <c r="B39" s="2" t="n">
        <v>46205</v>
      </c>
      <c r="C39" s="1" t="n">
        <v>1256</v>
      </c>
      <c r="D39" s="1" t="n">
        <v>145.42</v>
      </c>
      <c r="E39" s="1" t="n">
        <v>30</v>
      </c>
      <c r="F39" s="5" t="n">
        <v>84.15</v>
      </c>
      <c r="G39" s="5" t="n">
        <v>76.1</v>
      </c>
      <c r="H39" s="5" t="n">
        <v>69.69</v>
      </c>
      <c r="I39" s="1" t="n">
        <v>17.23</v>
      </c>
      <c r="J39" s="1" t="n">
        <v>6.51</v>
      </c>
      <c r="K39" s="1" t="n">
        <v>1256</v>
      </c>
      <c r="L39" s="1" t="n">
        <v>0.08742</v>
      </c>
      <c r="M39" s="1" t="n">
        <v>0</v>
      </c>
      <c r="N39" s="1" t="n">
        <v>0</v>
      </c>
      <c r="O39" s="1" t="n">
        <v>0.02836</v>
      </c>
      <c r="P39" s="1" t="n">
        <v>169.16</v>
      </c>
      <c r="Q39" s="6" t="n">
        <f aca="false">(K39*L39) + (M39*N39) + (O39*C39) + I39 +J39</f>
        <v>169.15968</v>
      </c>
    </row>
    <row r="40" customFormat="false" ht="12.8" hidden="false" customHeight="false" outlineLevel="0" collapsed="false">
      <c r="A40" s="2" t="n">
        <v>46205</v>
      </c>
      <c r="B40" s="2" t="n">
        <v>46238</v>
      </c>
      <c r="C40" s="1" t="n">
        <v>1374</v>
      </c>
      <c r="D40" s="1" t="n">
        <v>156.41</v>
      </c>
      <c r="E40" s="1" t="n">
        <v>33</v>
      </c>
      <c r="F40" s="5" t="n">
        <v>84.85</v>
      </c>
      <c r="G40" s="5" t="n">
        <v>79.42</v>
      </c>
      <c r="H40" s="5" t="n">
        <v>75.33</v>
      </c>
      <c r="I40" s="1" t="n">
        <v>17.23</v>
      </c>
      <c r="J40" s="1" t="n">
        <v>6.95</v>
      </c>
      <c r="K40" s="1" t="n">
        <v>1374</v>
      </c>
      <c r="L40" s="1" t="n">
        <v>0.08742</v>
      </c>
      <c r="M40" s="1" t="n">
        <v>0</v>
      </c>
      <c r="N40" s="1" t="n">
        <v>0</v>
      </c>
      <c r="O40" s="1" t="n">
        <v>0.02641</v>
      </c>
      <c r="P40" s="1" t="n">
        <v>180.59</v>
      </c>
      <c r="Q40" s="6" t="n">
        <f aca="false">(K40*L40) + (M40*N40) + (O40*C40) + I40 +J40</f>
        <v>180.58242</v>
      </c>
    </row>
    <row r="41" customFormat="false" ht="12.8" hidden="false" customHeight="false" outlineLevel="0" collapsed="false">
      <c r="A41" s="2" t="n">
        <v>46238</v>
      </c>
      <c r="B41" s="2" t="n">
        <v>46267</v>
      </c>
      <c r="C41" s="1" t="n">
        <v>1418</v>
      </c>
      <c r="D41" s="1" t="n">
        <v>160.14</v>
      </c>
      <c r="E41" s="1" t="n">
        <v>29</v>
      </c>
      <c r="F41" s="5" t="n">
        <v>85.29</v>
      </c>
      <c r="G41" s="5" t="n">
        <v>79.68</v>
      </c>
      <c r="H41" s="5" t="n">
        <v>73.92</v>
      </c>
      <c r="I41" s="1" t="n">
        <v>17.23</v>
      </c>
      <c r="J41" s="1" t="n">
        <v>7.09</v>
      </c>
      <c r="K41" s="1" t="n">
        <v>1400</v>
      </c>
      <c r="L41" s="1" t="n">
        <v>0.08742</v>
      </c>
      <c r="M41" s="1" t="n">
        <v>18</v>
      </c>
      <c r="N41" s="1" t="n">
        <v>0.09246</v>
      </c>
      <c r="O41" s="1" t="n">
        <v>0.02545</v>
      </c>
      <c r="P41" s="1" t="n">
        <v>184.46</v>
      </c>
      <c r="Q41" s="6" t="n">
        <f aca="false">(K41*L41) + (M41*N41) + (O41*C41) + I41 +J41</f>
        <v>184.46038</v>
      </c>
    </row>
    <row r="42" customFormat="false" ht="12.8" hidden="false" customHeight="false" outlineLevel="0" collapsed="false">
      <c r="A42" s="2" t="n">
        <v>46267</v>
      </c>
      <c r="B42" s="2" t="n">
        <v>46297</v>
      </c>
      <c r="C42" s="1" t="n">
        <v>1339</v>
      </c>
      <c r="D42" s="1" t="n">
        <v>137.98</v>
      </c>
      <c r="E42" s="1" t="n">
        <v>30</v>
      </c>
      <c r="F42" s="1" t="n">
        <v>99</v>
      </c>
      <c r="G42" s="1" t="n">
        <v>78</v>
      </c>
      <c r="H42" s="1" t="n">
        <v>48</v>
      </c>
      <c r="I42" s="1" t="n">
        <v>17.23</v>
      </c>
      <c r="J42" s="1" t="n">
        <v>6.21</v>
      </c>
      <c r="K42" s="1" t="n">
        <v>1339</v>
      </c>
      <c r="L42" s="1" t="n">
        <v>0.08133</v>
      </c>
      <c r="M42" s="1" t="n">
        <v>0</v>
      </c>
      <c r="N42" s="1" t="n">
        <v>0</v>
      </c>
      <c r="O42" s="1" t="n">
        <v>0.02172</v>
      </c>
      <c r="P42" s="1" t="n">
        <v>161.42</v>
      </c>
      <c r="Q42" s="6" t="n">
        <f aca="false">(K42*L42) + (M42*N42) + (O42*C42) + I42 +J42</f>
        <v>161.42395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2026-09-19T23:13:03Z</dcterms:created>
  <dc:creator/>
  <dc:description/>
  <dc:language>en-US</dc:language>
  <cp:lastModifiedBy/>
  <dcterms:modified xsi:type="dcterms:W3CDTF">2026-10-18T15:39:22Z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